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tomgreen/Desktop/privml-fhe/engr489_project/docs/User_Testing/"/>
    </mc:Choice>
  </mc:AlternateContent>
  <xr:revisionPtr revIDLastSave="0" documentId="13_ncr:1_{12B3103F-C426-AF4D-9E38-A27282EC9209}" xr6:coauthVersionLast="47" xr6:coauthVersionMax="47" xr10:uidLastSave="{00000000-0000-0000-0000-000000000000}"/>
  <bookViews>
    <workbookView xWindow="0" yWindow="800" windowWidth="36000" windowHeight="20520" xr2:uid="{00000000-000D-0000-FFFF-FFFF00000000}"/>
  </bookViews>
  <sheets>
    <sheet name="Form Responses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7" i="1" l="1"/>
  <c r="C22" i="1"/>
  <c r="C23" i="1"/>
  <c r="C24" i="1"/>
  <c r="C25" i="1"/>
  <c r="C26" i="1"/>
  <c r="C27" i="1"/>
  <c r="C28" i="1"/>
  <c r="C29" i="1"/>
  <c r="C30" i="1"/>
  <c r="C31" i="1"/>
  <c r="C32" i="1"/>
  <c r="C33" i="1"/>
  <c r="C34" i="1"/>
  <c r="C35" i="1"/>
  <c r="C36" i="1"/>
  <c r="C21" i="1"/>
  <c r="U2" i="1"/>
  <c r="U3" i="1"/>
  <c r="U4" i="1"/>
  <c r="U5" i="1"/>
  <c r="U6" i="1"/>
  <c r="U7" i="1"/>
  <c r="U8" i="1"/>
  <c r="U9" i="1"/>
  <c r="U10" i="1"/>
  <c r="U11" i="1"/>
  <c r="U12" i="1"/>
  <c r="U13" i="1"/>
  <c r="U14" i="1"/>
  <c r="U15" i="1"/>
  <c r="U16" i="1"/>
  <c r="S2" i="1"/>
  <c r="S3" i="1"/>
  <c r="S4" i="1"/>
  <c r="S5" i="1"/>
  <c r="S6" i="1"/>
  <c r="S7" i="1"/>
  <c r="S8" i="1"/>
  <c r="S9" i="1"/>
  <c r="S10" i="1"/>
  <c r="S11" i="1"/>
  <c r="S12" i="1"/>
  <c r="S13" i="1"/>
  <c r="S14" i="1"/>
  <c r="S15" i="1"/>
  <c r="S16" i="1"/>
  <c r="Q2" i="1"/>
  <c r="Q3" i="1"/>
  <c r="Q4" i="1"/>
  <c r="Q5" i="1"/>
  <c r="Q6" i="1"/>
  <c r="Q7" i="1"/>
  <c r="Q8" i="1"/>
  <c r="Q9" i="1"/>
  <c r="Q10" i="1"/>
  <c r="Q11" i="1"/>
  <c r="Q12" i="1"/>
  <c r="Q13" i="1"/>
  <c r="Q14" i="1"/>
  <c r="Q15" i="1"/>
  <c r="Q16" i="1"/>
  <c r="C17" i="1"/>
  <c r="O2" i="1"/>
  <c r="O3" i="1"/>
  <c r="O4" i="1"/>
  <c r="O5" i="1"/>
  <c r="O6" i="1"/>
  <c r="O7" i="1"/>
  <c r="O8" i="1"/>
  <c r="O9" i="1"/>
  <c r="O10" i="1"/>
  <c r="O11" i="1"/>
  <c r="O12" i="1"/>
  <c r="O13" i="1"/>
  <c r="O14" i="1"/>
  <c r="O15" i="1"/>
  <c r="O16" i="1"/>
  <c r="M2" i="1"/>
  <c r="M3" i="1"/>
  <c r="M4" i="1"/>
  <c r="M5" i="1"/>
  <c r="M6" i="1"/>
  <c r="M7" i="1"/>
  <c r="M8" i="1"/>
  <c r="M9" i="1"/>
  <c r="M10" i="1"/>
  <c r="M11" i="1"/>
  <c r="M12" i="1"/>
  <c r="M13" i="1"/>
  <c r="M14" i="1"/>
  <c r="M15" i="1"/>
  <c r="M16" i="1"/>
  <c r="K2" i="1"/>
  <c r="K3" i="1"/>
  <c r="K4" i="1"/>
  <c r="K5" i="1"/>
  <c r="K6" i="1"/>
  <c r="K7" i="1"/>
  <c r="K8" i="1"/>
  <c r="K9" i="1"/>
  <c r="K10" i="1"/>
  <c r="K11" i="1"/>
  <c r="K12" i="1"/>
  <c r="K13" i="1"/>
  <c r="K14" i="1"/>
  <c r="K15" i="1"/>
  <c r="K16" i="1"/>
  <c r="I2" i="1"/>
  <c r="I3" i="1"/>
  <c r="I4" i="1"/>
  <c r="I5" i="1"/>
  <c r="I6" i="1"/>
  <c r="I7" i="1"/>
  <c r="I8" i="1"/>
  <c r="I9" i="1"/>
  <c r="I10" i="1"/>
  <c r="I11" i="1"/>
  <c r="I12" i="1"/>
  <c r="I13" i="1"/>
  <c r="I14" i="1"/>
  <c r="I15" i="1"/>
  <c r="I16" i="1"/>
  <c r="G2" i="1"/>
  <c r="G3" i="1"/>
  <c r="G4" i="1"/>
  <c r="G5" i="1"/>
  <c r="G6" i="1"/>
  <c r="G7" i="1"/>
  <c r="G8" i="1"/>
  <c r="G9" i="1"/>
  <c r="G10" i="1"/>
  <c r="G11" i="1"/>
  <c r="G12" i="1"/>
  <c r="G13" i="1"/>
  <c r="G14" i="1"/>
  <c r="G15" i="1"/>
  <c r="G16" i="1"/>
  <c r="E3" i="1"/>
  <c r="E2" i="1"/>
  <c r="E4" i="1"/>
  <c r="E5" i="1"/>
  <c r="E6" i="1"/>
  <c r="E7" i="1"/>
  <c r="E8" i="1"/>
  <c r="E9" i="1"/>
  <c r="E10" i="1"/>
  <c r="E11" i="1"/>
  <c r="E12" i="1"/>
  <c r="E13" i="1"/>
  <c r="E14" i="1"/>
  <c r="E15" i="1"/>
  <c r="E16" i="1"/>
  <c r="C2" i="1"/>
  <c r="C3" i="1"/>
  <c r="C4" i="1"/>
  <c r="C5" i="1"/>
  <c r="C6" i="1"/>
  <c r="C7" i="1"/>
  <c r="C8" i="1"/>
  <c r="C9" i="1"/>
  <c r="C10" i="1"/>
  <c r="C11" i="1"/>
  <c r="C12" i="1"/>
  <c r="C13" i="1"/>
  <c r="C14" i="1"/>
  <c r="C15" i="1"/>
  <c r="C16" i="1"/>
</calcChain>
</file>

<file path=xl/sharedStrings.xml><?xml version="1.0" encoding="utf-8"?>
<sst xmlns="http://schemas.openxmlformats.org/spreadsheetml/2006/main" count="85" uniqueCount="77">
  <si>
    <t>Timestamp</t>
  </si>
  <si>
    <t>1. I think that I would like to use this application frequently.</t>
  </si>
  <si>
    <t>2. I found the application unnecessarily complex.</t>
  </si>
  <si>
    <t>3. I thought the application was easy to use.</t>
  </si>
  <si>
    <t>4. I think that I would need the support of a technical person to be able to use this application.</t>
  </si>
  <si>
    <t>5. I found the various functions in this application were well integrated.</t>
  </si>
  <si>
    <t>6. I thought there was too much inconsistency in this application.</t>
  </si>
  <si>
    <t>7. I would imagine that most people would learn to use this application very quickly.</t>
  </si>
  <si>
    <t>8. I found the application very cumbersome to use.</t>
  </si>
  <si>
    <t>9. I felt very confident using the application.</t>
  </si>
  <si>
    <t>10. I needed to learn a lot of things before I could get going with this application.</t>
  </si>
  <si>
    <t>Please provide any positive feedback from using the application. If no feedback just say N/A.</t>
  </si>
  <si>
    <t>Please provide any negative feedback from using the application. If no feedback just say N/A.</t>
  </si>
  <si>
    <t>Please provide any ideas/things to improve on. If no feedback just say N/A.</t>
  </si>
  <si>
    <t>I like the web interface design, and the color scheme is appropriate.</t>
  </si>
  <si>
    <t>Ideally, there should be no terminal/log output. If this was a real AI system, you likely would not see any terminal output.</t>
  </si>
  <si>
    <t>The accuracy of the last model should be improved.
Eventually, more complex AI models could be added.</t>
  </si>
  <si>
    <t>The website has a good use of showing the use case of the FHE encryption</t>
  </si>
  <si>
    <t>N/A</t>
  </si>
  <si>
    <t>It could be cool to have a diagram on the front page to explain the idea of the clients and ML model server</t>
  </si>
  <si>
    <t>I liked the design and it was relatively easy to understand how to use it.</t>
  </si>
  <si>
    <t>The Encrypted AI number one didn't work for some numbers, but did for others.</t>
  </si>
  <si>
    <t>Encryption number one needs work</t>
  </si>
  <si>
    <t xml:space="preserve">It was easy to use and straightforward </t>
  </si>
  <si>
    <t>Face detection can notify users when to move to the next step, Non-encryption and encryption headings seems to use the same layout as buttons which can confuse the user.</t>
  </si>
  <si>
    <t>aesthetically pleasing and easy to navigate</t>
  </si>
  <si>
    <t>Hard to actually visualise what is happening</t>
  </si>
  <si>
    <t>Would be better if it was top down instead of boxes next to each other. Also should match the style of how the rest of the page is layed out.</t>
  </si>
  <si>
    <t>This method for encryption seems to be an upgrade from traditional approaches since it performs processes on encrypted data.</t>
  </si>
  <si>
    <t>The process seems to be very abstract. I can't see the data being processed. 
There are no navigation boxes as well for users to click on.
App doesn't have template images to use as well.</t>
  </si>
  <si>
    <t>Visualize the modeling on the encrypted data to make. Perhaps by changing the "terminal outputs" to "log outputs" would help the user better understand what's happening in for that process real-time.
Make navigation boxes in the home page for users to click on to access the tools.
Insert template images for people to use instead of people using it uploading their own images.</t>
  </si>
  <si>
    <t>I liked how responsive the app was. The UX was intuitive</t>
  </si>
  <si>
    <t>The image generation (regression) (2nd one) looked much lower quality encrypted vs unencrypted</t>
  </si>
  <si>
    <t>A potential solution to the image generation problem might be to transform the unencrypted version to 32-bit as well to provided a fairer test between encrypted and unencrypted</t>
  </si>
  <si>
    <t>Very simple.</t>
  </si>
  <si>
    <t>Small bugs (as discussed)</t>
  </si>
  <si>
    <t>Great gob!! I had no idea something like this was even possible. I hope to see something similar to this used to keep our information secure for big applications like chatGPT and Gemini in the future. Good job on getting the terminal displaying nicely.</t>
  </si>
  <si>
    <t>The headers for each section like (plain text model and FHE model) need to be bold so the user can know which model they are working with. Your final face detecting AI doesn't match the same resolution as the unencrypted one above.</t>
  </si>
  <si>
    <t xml:space="preserve">I believe that the send to AI button should be in step one. there is no need to have a step two which draws the image again and with only one button. Both buttons (clear and send to AI) should be in step one. </t>
  </si>
  <si>
    <t>components of application were well integrated. easy to follow. would be able to use it without help of person who made it</t>
  </si>
  <si>
    <t>maybe make the clear button and reset button available in the area of the web page I am in so I can reset if I need to</t>
  </si>
  <si>
    <t>Very easy good use case for what online models could be like if they used encrypted inputs</t>
  </si>
  <si>
    <t>Think this would be better as a GUI or something you can download to use instead of being a website application due to you creating a private key each time and that might make more infrastructure to be developed as it wouldn't fall under normal public private key online workflows.</t>
  </si>
  <si>
    <t>enjoyed the different use cases there were. face detection one seems to work very well</t>
  </si>
  <si>
    <t>improve the bordered model</t>
  </si>
  <si>
    <t>maybe have more happening when it is doing encrypted computations so we know what is happening. right now it is just displaying what it is doing</t>
  </si>
  <si>
    <t>cool application. nice consistent design</t>
  </si>
  <si>
    <t>Felt very clustered when scrolling down the page, hard to track as both models are different</t>
  </si>
  <si>
    <t>maybe make two pages for non-encrypted and encrypted</t>
  </si>
  <si>
    <t>easy to use web app</t>
  </si>
  <si>
    <t xml:space="preserve">would be better if everything stays localized - GUI not web app </t>
  </si>
  <si>
    <t>Column1</t>
  </si>
  <si>
    <t>Column2</t>
  </si>
  <si>
    <t>Column3</t>
  </si>
  <si>
    <t>Column4</t>
  </si>
  <si>
    <t>Column5</t>
  </si>
  <si>
    <t>Column6</t>
  </si>
  <si>
    <t>Column7</t>
  </si>
  <si>
    <t>Column8</t>
  </si>
  <si>
    <t>Column9</t>
  </si>
  <si>
    <t>Column10</t>
  </si>
  <si>
    <t>User 1</t>
  </si>
  <si>
    <t>User 2</t>
  </si>
  <si>
    <t>User 3</t>
  </si>
  <si>
    <t>User 4</t>
  </si>
  <si>
    <t>User 5</t>
  </si>
  <si>
    <t>User 6</t>
  </si>
  <si>
    <t>User 7</t>
  </si>
  <si>
    <t>User 8</t>
  </si>
  <si>
    <t>User 9</t>
  </si>
  <si>
    <t>User 10</t>
  </si>
  <si>
    <t>User 11</t>
  </si>
  <si>
    <t>User 12</t>
  </si>
  <si>
    <t>User 13</t>
  </si>
  <si>
    <t>User 14</t>
  </si>
  <si>
    <t>User 15</t>
  </si>
  <si>
    <t>User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</si>
</sst>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4" x14ac:knownFonts="1">
    <font>
      <sz val="10"/>
      <color rgb="FF000000"/>
      <name val="Arial"/>
      <scheme val="minor"/>
    </font>
    <font>
      <sz val="10"/>
      <color theme="1"/>
      <name val="Arial"/>
      <family val="2"/>
      <scheme val="minor"/>
    </font>
    <font>
      <sz val="10"/>
      <color rgb="FF000000"/>
      <name val="Arial"/>
      <family val="2"/>
      <scheme val="minor"/>
    </font>
    <font>
      <sz val="8"/>
      <name val="Arial"/>
      <family val="2"/>
      <scheme val="minor"/>
    </font>
  </fonts>
  <fills count="2">
    <fill>
      <patternFill patternType="none"/>
    </fill>
    <fill>
      <patternFill patternType="gray125"/>
    </fill>
  </fills>
  <borders count="14">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
      <left style="thin">
        <color rgb="FFFFFFFF"/>
      </left>
      <right style="thin">
        <color rgb="FFFFFFFF"/>
      </right>
      <top style="thin">
        <color rgb="FFFFFFFF"/>
      </top>
      <bottom/>
      <diagonal/>
    </border>
  </borders>
  <cellStyleXfs count="1">
    <xf numFmtId="0" fontId="0" fillId="0" borderId="0"/>
  </cellStyleXfs>
  <cellXfs count="17">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0" fillId="0" borderId="0" xfId="0" applyBorder="1"/>
    <xf numFmtId="0" fontId="1" fillId="0" borderId="13" xfId="0" applyNumberFormat="1" applyFont="1" applyBorder="1" applyAlignment="1">
      <alignment vertical="center"/>
    </xf>
    <xf numFmtId="0" fontId="1" fillId="0" borderId="13" xfId="0" applyFont="1" applyBorder="1" applyAlignment="1">
      <alignment vertical="center"/>
    </xf>
    <xf numFmtId="0" fontId="2" fillId="0" borderId="0" xfId="0" applyFont="1"/>
  </cellXfs>
  <cellStyles count="1">
    <cellStyle name="Normal" xfId="0" builtinId="0"/>
  </cellStyles>
  <dxfs count="37">
    <dxf>
      <border diagonalUp="0" diagonalDown="0" outline="0">
        <left/>
        <right/>
        <top/>
        <bottom/>
      </border>
    </dxf>
    <dxf>
      <border diagonalUp="0" diagonalDown="0" outline="0">
        <left/>
        <right/>
        <top/>
        <bottom/>
      </border>
    </dxf>
    <dxf>
      <border diagonalUp="0" diagonalDown="0" outline="0">
        <left/>
        <right/>
        <top/>
        <bottom/>
      </border>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border diagonalUp="0" diagonalDown="0" outline="0">
        <left style="thin">
          <color rgb="FFFFFFFF"/>
        </left>
        <right style="thin">
          <color rgb="FFFFFFFF"/>
        </right>
        <top style="thin">
          <color rgb="FFFFFFFF"/>
        </top>
        <bottom/>
      </border>
    </dxf>
    <dxf>
      <border diagonalUp="0" diagonalDown="0" outline="0">
        <left/>
        <right/>
        <top/>
        <bottom/>
      </border>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border diagonalUp="0" diagonalDown="0" outline="0">
        <left style="thin">
          <color rgb="FFFFFFFF"/>
        </left>
        <right style="thin">
          <color rgb="FFFFFFFF"/>
        </right>
        <top style="thin">
          <color rgb="FFFFFFFF"/>
        </top>
        <bottom/>
      </border>
    </dxf>
    <dxf>
      <border diagonalUp="0" diagonalDown="0" outline="0">
        <left/>
        <right/>
        <top/>
        <bottom/>
      </border>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border diagonalUp="0" diagonalDown="0" outline="0">
        <left style="thin">
          <color rgb="FFFFFFFF"/>
        </left>
        <right style="thin">
          <color rgb="FFFFFFFF"/>
        </right>
        <top style="thin">
          <color rgb="FFFFFFFF"/>
        </top>
        <bottom/>
      </border>
    </dxf>
    <dxf>
      <border diagonalUp="0" diagonalDown="0" outline="0">
        <left/>
        <right/>
        <top/>
        <bottom/>
      </border>
    </dxf>
    <dxf>
      <font>
        <b val="0"/>
        <i val="0"/>
        <strike val="0"/>
        <condense val="0"/>
        <extend val="0"/>
        <outline val="0"/>
        <shadow val="0"/>
        <u val="none"/>
        <vertAlign val="baseline"/>
        <sz val="10"/>
        <color theme="1"/>
        <name val="Arial"/>
        <family val="2"/>
        <scheme val="minor"/>
      </font>
      <numFmt numFmtId="0" formatCode="General"/>
      <alignment horizontal="general" vertical="center" textRotation="0" wrapText="0" indent="0" justifyLastLine="0" shrinkToFit="0" readingOrder="0"/>
      <border diagonalUp="0" diagonalDown="0" outline="0">
        <left style="thin">
          <color rgb="FFFFFFFF"/>
        </left>
        <right style="thin">
          <color rgb="FFFFFFFF"/>
        </right>
        <top style="thin">
          <color rgb="FFFFFFFF"/>
        </top>
        <bottom/>
      </border>
    </dxf>
    <dxf>
      <border diagonalUp="0" diagonalDown="0" outline="0">
        <left/>
        <right/>
        <top/>
        <bottom/>
      </border>
    </dxf>
    <dxf>
      <font>
        <b val="0"/>
        <i val="0"/>
        <strike val="0"/>
        <condense val="0"/>
        <extend val="0"/>
        <outline val="0"/>
        <shadow val="0"/>
        <u val="none"/>
        <vertAlign val="baseline"/>
        <sz val="10"/>
        <color theme="1"/>
        <name val="Arial"/>
        <family val="2"/>
        <scheme val="minor"/>
      </font>
      <numFmt numFmtId="0" formatCode="General"/>
      <alignment horizontal="general" vertical="center" textRotation="0" wrapText="0" indent="0" justifyLastLine="0" shrinkToFit="0" readingOrder="0"/>
      <border diagonalUp="0" diagonalDown="0" outline="0">
        <left style="thin">
          <color rgb="FFFFFFFF"/>
        </left>
        <right style="thin">
          <color rgb="FFFFFFFF"/>
        </right>
        <top style="thin">
          <color rgb="FFFFFFFF"/>
        </top>
        <bottom/>
      </border>
    </dxf>
    <dxf>
      <border diagonalUp="0" diagonalDown="0" outline="0">
        <left/>
        <right/>
        <top/>
        <bottom/>
      </border>
    </dxf>
    <dxf>
      <font>
        <b val="0"/>
        <i val="0"/>
        <strike val="0"/>
        <condense val="0"/>
        <extend val="0"/>
        <outline val="0"/>
        <shadow val="0"/>
        <u val="none"/>
        <vertAlign val="baseline"/>
        <sz val="10"/>
        <color theme="1"/>
        <name val="Arial"/>
        <family val="2"/>
        <scheme val="minor"/>
      </font>
      <numFmt numFmtId="0" formatCode="General"/>
      <alignment horizontal="general" vertical="center" textRotation="0" wrapText="0" indent="0" justifyLastLine="0" shrinkToFit="0" readingOrder="0"/>
      <border diagonalUp="0" diagonalDown="0" outline="0">
        <left style="thin">
          <color rgb="FFFFFFFF"/>
        </left>
        <right style="thin">
          <color rgb="FFFFFFFF"/>
        </right>
        <top style="thin">
          <color rgb="FFFFFFFF"/>
        </top>
        <bottom/>
      </border>
    </dxf>
    <dxf>
      <border diagonalUp="0" diagonalDown="0" outline="0">
        <left/>
        <right/>
        <top/>
        <bottom/>
      </border>
    </dxf>
    <dxf>
      <font>
        <b val="0"/>
        <i val="0"/>
        <strike val="0"/>
        <condense val="0"/>
        <extend val="0"/>
        <outline val="0"/>
        <shadow val="0"/>
        <u val="none"/>
        <vertAlign val="baseline"/>
        <sz val="10"/>
        <color theme="1"/>
        <name val="Arial"/>
        <family val="2"/>
        <scheme val="minor"/>
      </font>
      <numFmt numFmtId="0" formatCode="General"/>
      <alignment horizontal="general" vertical="center" textRotation="0" wrapText="0" indent="0" justifyLastLine="0" shrinkToFit="0" readingOrder="0"/>
      <border diagonalUp="0" diagonalDown="0" outline="0">
        <left style="thin">
          <color rgb="FFFFFFFF"/>
        </left>
        <right style="thin">
          <color rgb="FFFFFFFF"/>
        </right>
        <top style="thin">
          <color rgb="FFFFFFFF"/>
        </top>
        <bottom/>
      </border>
    </dxf>
    <dxf>
      <border diagonalUp="0" diagonalDown="0" outline="0">
        <left/>
        <right/>
        <top/>
        <bottom/>
      </border>
    </dxf>
    <dxf>
      <font>
        <b val="0"/>
        <i val="0"/>
        <strike val="0"/>
        <condense val="0"/>
        <extend val="0"/>
        <outline val="0"/>
        <shadow val="0"/>
        <u val="none"/>
        <vertAlign val="baseline"/>
        <sz val="10"/>
        <color theme="1"/>
        <name val="Arial"/>
        <family val="2"/>
        <scheme val="minor"/>
      </font>
      <numFmt numFmtId="0" formatCode="General"/>
      <alignment horizontal="general" vertical="center" textRotation="0" wrapText="0" indent="0" justifyLastLine="0" shrinkToFit="0" readingOrder="0"/>
      <border diagonalUp="0" diagonalDown="0" outline="0">
        <left style="thin">
          <color rgb="FFFFFFFF"/>
        </left>
        <right style="thin">
          <color rgb="FFFFFFFF"/>
        </right>
        <top style="thin">
          <color rgb="FFFFFFFF"/>
        </top>
        <bottom/>
      </border>
    </dxf>
    <dxf>
      <border diagonalUp="0" diagonalDown="0" outline="0">
        <left/>
        <right/>
        <top/>
        <bottom/>
      </border>
    </dxf>
    <dxf>
      <font>
        <b val="0"/>
        <i val="0"/>
        <strike val="0"/>
        <condense val="0"/>
        <extend val="0"/>
        <outline val="0"/>
        <shadow val="0"/>
        <u val="none"/>
        <vertAlign val="baseline"/>
        <sz val="10"/>
        <color theme="1"/>
        <name val="Arial"/>
        <family val="2"/>
        <scheme val="minor"/>
      </font>
      <numFmt numFmtId="0" formatCode="General"/>
      <alignment horizontal="general" vertical="center" textRotation="0" wrapText="0" indent="0" justifyLastLine="0" shrinkToFit="0" readingOrder="0"/>
      <border diagonalUp="0" diagonalDown="0" outline="0">
        <left style="thin">
          <color rgb="FFFFFFFF"/>
        </left>
        <right style="thin">
          <color rgb="FFFFFFFF"/>
        </right>
        <top style="thin">
          <color rgb="FFFFFFFF"/>
        </top>
        <bottom/>
      </border>
    </dxf>
    <dxf>
      <border diagonalUp="0" diagonalDown="0" outline="0">
        <left/>
        <right/>
        <top/>
        <bottom/>
      </border>
    </dxf>
    <dxf>
      <font>
        <b val="0"/>
        <i val="0"/>
        <strike val="0"/>
        <condense val="0"/>
        <extend val="0"/>
        <outline val="0"/>
        <shadow val="0"/>
        <u val="none"/>
        <vertAlign val="baseline"/>
        <sz val="10"/>
        <color theme="1"/>
        <name val="Arial"/>
        <family val="2"/>
        <scheme val="minor"/>
      </font>
      <numFmt numFmtId="0" formatCode="General"/>
      <alignment horizontal="general" vertical="center" textRotation="0" wrapText="0" indent="0" justifyLastLine="0" shrinkToFit="0" readingOrder="0"/>
      <border diagonalUp="0" diagonalDown="0" outline="0">
        <left style="thin">
          <color rgb="FFFFFFFF"/>
        </left>
        <right style="thin">
          <color rgb="FFFFFFFF"/>
        </right>
        <top style="thin">
          <color rgb="FFFFFFFF"/>
        </top>
        <bottom/>
      </border>
    </dxf>
    <dxf>
      <border diagonalUp="0" diagonalDown="0" outline="0">
        <left/>
        <right/>
        <top/>
        <bottom/>
      </border>
    </dxf>
    <dxf>
      <border diagonalUp="0" diagonalDown="0" outline="0">
        <left/>
        <right/>
        <top/>
        <bottom/>
      </border>
    </dxf>
    <dxf>
      <font>
        <b val="0"/>
        <i val="0"/>
        <strike val="0"/>
        <condense val="0"/>
        <extend val="0"/>
        <outline val="0"/>
        <shadow val="0"/>
        <u val="none"/>
        <vertAlign val="baseline"/>
        <sz val="10"/>
        <color theme="1"/>
        <name val="Arial"/>
        <family val="2"/>
        <scheme val="minor"/>
      </font>
      <numFmt numFmtId="0" formatCode="General"/>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Arial"/>
        <family val="2"/>
        <scheme val="minor"/>
      </font>
      <numFmt numFmtId="0" formatCode="General"/>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Arial"/>
        <family val="2"/>
        <scheme val="minor"/>
      </font>
      <numFmt numFmtId="0" formatCode="General"/>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Arial"/>
        <family val="2"/>
        <scheme val="minor"/>
      </font>
      <numFmt numFmtId="0" formatCode="General"/>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Arial"/>
        <family val="2"/>
        <scheme val="minor"/>
      </font>
      <numFmt numFmtId="0" formatCode="General"/>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Arial"/>
        <family val="2"/>
        <scheme val="minor"/>
      </font>
      <numFmt numFmtId="0" formatCode="General"/>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Arial"/>
        <family val="2"/>
        <scheme val="minor"/>
      </font>
      <numFmt numFmtId="0" formatCode="General"/>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Arial"/>
        <family val="2"/>
        <scheme val="minor"/>
      </font>
      <numFmt numFmtId="0" formatCode="General"/>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Arial"/>
        <family val="2"/>
        <scheme val="minor"/>
      </font>
      <numFmt numFmtId="0" formatCode="General"/>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Arial"/>
        <family val="2"/>
        <scheme val="minor"/>
      </font>
      <numFmt numFmtId="0" formatCode="General"/>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36"/>
      <tableStyleElement type="firstRowStripe" dxfId="35"/>
      <tableStyleElement type="secondRowStripe" dxfId="3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X17" totalsRowCount="1">
  <tableColumns count="24">
    <tableColumn id="1" xr3:uid="{00000000-0010-0000-0000-000001000000}" name="Timestamp" totalsRowDxfId="23"/>
    <tableColumn id="2" xr3:uid="{00000000-0010-0000-0000-000002000000}" name="1. I think that I would like to use this application frequently." totalsRowDxfId="22"/>
    <tableColumn id="15" xr3:uid="{9EB2A06D-29DC-A74A-A03D-FFDA7AD53592}" name="Column1" totalsRowFunction="custom" dataDxfId="33" totalsRowDxfId="21">
      <calculatedColumnFormula>B2-1</calculatedColumnFormula>
      <totalsRowFormula>SUM(C4:C16)</totalsRowFormula>
    </tableColumn>
    <tableColumn id="3" xr3:uid="{00000000-0010-0000-0000-000003000000}" name="2. I found the application unnecessarily complex." totalsRowDxfId="20"/>
    <tableColumn id="25" xr3:uid="{04D103CB-D2C9-1B43-A756-1106AD5917F6}" name="Column2" dataDxfId="32" totalsRowDxfId="19">
      <calculatedColumnFormula>5-D2</calculatedColumnFormula>
    </tableColumn>
    <tableColumn id="4" xr3:uid="{00000000-0010-0000-0000-000004000000}" name="3. I thought the application was easy to use." totalsRowDxfId="18"/>
    <tableColumn id="17" xr3:uid="{127DE248-DD1B-834A-B35A-320E3D6A5841}" name="Column3" dataDxfId="31" totalsRowDxfId="17">
      <calculatedColumnFormula>F2-1</calculatedColumnFormula>
    </tableColumn>
    <tableColumn id="5" xr3:uid="{00000000-0010-0000-0000-000005000000}" name="4. I think that I would need the support of a technical person to be able to use this application." totalsRowDxfId="16"/>
    <tableColumn id="18" xr3:uid="{03661EE3-4725-3442-BED2-3FDDD489BA5F}" name="Column4" dataDxfId="30" totalsRowDxfId="15">
      <calculatedColumnFormula>5-H2</calculatedColumnFormula>
    </tableColumn>
    <tableColumn id="6" xr3:uid="{00000000-0010-0000-0000-000006000000}" name="5. I found the various functions in this application were well integrated." totalsRowDxfId="14"/>
    <tableColumn id="19" xr3:uid="{4DA37835-0244-834B-9195-5128CB447A31}" name="Column5" dataDxfId="29" totalsRowDxfId="13">
      <calculatedColumnFormula>J2-1</calculatedColumnFormula>
    </tableColumn>
    <tableColumn id="7" xr3:uid="{00000000-0010-0000-0000-000007000000}" name="6. I thought there was too much inconsistency in this application." totalsRowDxfId="12"/>
    <tableColumn id="20" xr3:uid="{2B20F96F-E8DF-9A4A-83AF-D84E215CC44E}" name="Column6" dataDxfId="28" totalsRowDxfId="11">
      <calculatedColumnFormula>5-L2</calculatedColumnFormula>
    </tableColumn>
    <tableColumn id="8" xr3:uid="{00000000-0010-0000-0000-000008000000}" name="7. I would imagine that most people would learn to use this application very quickly." totalsRowDxfId="10"/>
    <tableColumn id="21" xr3:uid="{3F73BF7C-2842-DE40-BE4B-C851F8901D7D}" name="Column7" dataDxfId="27" totalsRowDxfId="9">
      <calculatedColumnFormula>N2-1</calculatedColumnFormula>
    </tableColumn>
    <tableColumn id="9" xr3:uid="{00000000-0010-0000-0000-000009000000}" name="8. I found the application very cumbersome to use." totalsRowDxfId="8"/>
    <tableColumn id="22" xr3:uid="{3535C0B0-D0C0-564D-B977-D36A9162C4D9}" name="Column8" dataDxfId="26" totalsRowDxfId="7">
      <calculatedColumnFormula>5-P2</calculatedColumnFormula>
    </tableColumn>
    <tableColumn id="10" xr3:uid="{00000000-0010-0000-0000-00000A000000}" name="9. I felt very confident using the application." totalsRowDxfId="6"/>
    <tableColumn id="23" xr3:uid="{1CD251DB-2B1C-D541-89F9-94CE6B31C40C}" name="Column9" dataDxfId="25" totalsRowDxfId="5">
      <calculatedColumnFormula>R2-1</calculatedColumnFormula>
    </tableColumn>
    <tableColumn id="11" xr3:uid="{00000000-0010-0000-0000-00000B000000}" name="10. I needed to learn a lot of things before I could get going with this application." totalsRowDxfId="4"/>
    <tableColumn id="24" xr3:uid="{8E2EA934-264D-F046-980A-0155067D77D6}" name="Column10" dataDxfId="24" totalsRowDxfId="3">
      <calculatedColumnFormula>5-T2</calculatedColumnFormula>
    </tableColumn>
    <tableColumn id="12" xr3:uid="{00000000-0010-0000-0000-00000C000000}" name="Please provide any positive feedback from using the application. If no feedback just say N/A." totalsRowDxfId="2"/>
    <tableColumn id="13" xr3:uid="{00000000-0010-0000-0000-00000D000000}" name="Please provide any negative feedback from using the application. If no feedback just say N/A." totalsRowDxfId="1"/>
    <tableColumn id="14" xr3:uid="{00000000-0010-0000-0000-00000E000000}" name="Please provide any ideas/things to improve on. If no feedback just say N/A." totalsRowDxfId="0"/>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37"/>
  <sheetViews>
    <sheetView tabSelected="1" zoomScale="115" workbookViewId="0">
      <pane ySplit="1" topLeftCell="A2" activePane="bottomLeft" state="frozen"/>
      <selection pane="bottomLeft" activeCell="C37" sqref="C37"/>
    </sheetView>
  </sheetViews>
  <sheetFormatPr baseColWidth="10" defaultColWidth="12.6640625" defaultRowHeight="15.75" customHeight="1" x14ac:dyDescent="0.15"/>
  <cols>
    <col min="1" max="1" width="18.83203125" customWidth="1"/>
    <col min="2" max="3" width="37.6640625" customWidth="1"/>
    <col min="4" max="4" width="34.33203125" customWidth="1"/>
    <col min="5" max="9" width="37.6640625" customWidth="1"/>
    <col min="10" max="10" width="33.6640625" customWidth="1"/>
    <col min="11" max="14" width="37.6640625" customWidth="1"/>
    <col min="15" max="15" width="30.6640625" customWidth="1"/>
    <col min="16" max="16" width="42.83203125" customWidth="1"/>
    <col min="17" max="17" width="48.33203125" customWidth="1"/>
    <col min="18" max="18" width="39.33203125" customWidth="1"/>
    <col min="19" max="19" width="37.6640625" customWidth="1"/>
    <col min="20" max="20" width="18.83203125" customWidth="1"/>
    <col min="21" max="21" width="27" customWidth="1"/>
  </cols>
  <sheetData>
    <row r="1" spans="1:24" ht="15.75" customHeight="1" x14ac:dyDescent="0.15">
      <c r="A1" s="1" t="s">
        <v>0</v>
      </c>
      <c r="B1" s="2" t="s">
        <v>1</v>
      </c>
      <c r="C1" s="2" t="s">
        <v>51</v>
      </c>
      <c r="D1" s="2" t="s">
        <v>2</v>
      </c>
      <c r="E1" s="2" t="s">
        <v>52</v>
      </c>
      <c r="F1" s="2" t="s">
        <v>3</v>
      </c>
      <c r="G1" s="2" t="s">
        <v>53</v>
      </c>
      <c r="H1" s="2" t="s">
        <v>4</v>
      </c>
      <c r="I1" s="2" t="s">
        <v>54</v>
      </c>
      <c r="J1" s="2" t="s">
        <v>5</v>
      </c>
      <c r="K1" s="2" t="s">
        <v>55</v>
      </c>
      <c r="L1" s="2" t="s">
        <v>6</v>
      </c>
      <c r="M1" s="2" t="s">
        <v>56</v>
      </c>
      <c r="N1" s="2" t="s">
        <v>7</v>
      </c>
      <c r="O1" s="2" t="s">
        <v>57</v>
      </c>
      <c r="P1" s="2" t="s">
        <v>8</v>
      </c>
      <c r="Q1" s="2" t="s">
        <v>58</v>
      </c>
      <c r="R1" s="2" t="s">
        <v>9</v>
      </c>
      <c r="S1" s="2" t="s">
        <v>59</v>
      </c>
      <c r="T1" s="2" t="s">
        <v>10</v>
      </c>
      <c r="U1" s="2" t="s">
        <v>60</v>
      </c>
      <c r="V1" s="2" t="s">
        <v>11</v>
      </c>
      <c r="W1" s="2" t="s">
        <v>12</v>
      </c>
      <c r="X1" s="3" t="s">
        <v>13</v>
      </c>
    </row>
    <row r="2" spans="1:24" ht="15.75" customHeight="1" x14ac:dyDescent="0.15">
      <c r="A2" s="4">
        <v>45897.457743055558</v>
      </c>
      <c r="B2" s="5">
        <v>3</v>
      </c>
      <c r="C2" s="5">
        <f t="shared" ref="C2:C16" si="0">B2-1</f>
        <v>2</v>
      </c>
      <c r="D2" s="5">
        <v>2</v>
      </c>
      <c r="E2" s="5">
        <f t="shared" ref="E2:E16" si="1">5-D2</f>
        <v>3</v>
      </c>
      <c r="F2" s="5">
        <v>5</v>
      </c>
      <c r="G2" s="5">
        <f t="shared" ref="G2:G16" si="2">F2-1</f>
        <v>4</v>
      </c>
      <c r="H2" s="5">
        <v>1</v>
      </c>
      <c r="I2" s="5">
        <f t="shared" ref="I2:I16" si="3">5-H2</f>
        <v>4</v>
      </c>
      <c r="J2" s="5">
        <v>3</v>
      </c>
      <c r="K2" s="5">
        <f t="shared" ref="K2:K16" si="4">J2-1</f>
        <v>2</v>
      </c>
      <c r="L2" s="5">
        <v>1</v>
      </c>
      <c r="M2" s="5">
        <f t="shared" ref="M2:M16" si="5">5-L2</f>
        <v>4</v>
      </c>
      <c r="N2" s="5">
        <v>5</v>
      </c>
      <c r="O2" s="5">
        <f t="shared" ref="O2:O16" si="6">N2-1</f>
        <v>4</v>
      </c>
      <c r="P2" s="5">
        <v>1</v>
      </c>
      <c r="Q2" s="5">
        <f t="shared" ref="Q2:Q16" si="7">5-P2</f>
        <v>4</v>
      </c>
      <c r="R2" s="5">
        <v>5</v>
      </c>
      <c r="S2" s="5">
        <f t="shared" ref="S2:S16" si="8">R2-1</f>
        <v>4</v>
      </c>
      <c r="T2" s="5">
        <v>2</v>
      </c>
      <c r="U2" s="5">
        <f t="shared" ref="U2:U16" si="9">5-T2</f>
        <v>3</v>
      </c>
      <c r="V2" s="5" t="s">
        <v>14</v>
      </c>
      <c r="W2" s="5" t="s">
        <v>15</v>
      </c>
      <c r="X2" s="6" t="s">
        <v>16</v>
      </c>
    </row>
    <row r="3" spans="1:24" ht="15.75" customHeight="1" x14ac:dyDescent="0.15">
      <c r="A3" s="7">
        <v>45898.509421296294</v>
      </c>
      <c r="B3" s="8">
        <v>5</v>
      </c>
      <c r="C3" s="8">
        <f t="shared" si="0"/>
        <v>4</v>
      </c>
      <c r="D3" s="8">
        <v>1</v>
      </c>
      <c r="E3" s="8">
        <f>5-D3</f>
        <v>4</v>
      </c>
      <c r="F3" s="8">
        <v>5</v>
      </c>
      <c r="G3" s="8">
        <f t="shared" si="2"/>
        <v>4</v>
      </c>
      <c r="H3" s="8">
        <v>1</v>
      </c>
      <c r="I3" s="8">
        <f t="shared" si="3"/>
        <v>4</v>
      </c>
      <c r="J3" s="8">
        <v>4</v>
      </c>
      <c r="K3" s="8">
        <f t="shared" si="4"/>
        <v>3</v>
      </c>
      <c r="L3" s="8">
        <v>1</v>
      </c>
      <c r="M3" s="8">
        <f t="shared" si="5"/>
        <v>4</v>
      </c>
      <c r="N3" s="8">
        <v>5</v>
      </c>
      <c r="O3" s="8">
        <f t="shared" si="6"/>
        <v>4</v>
      </c>
      <c r="P3" s="8">
        <v>1</v>
      </c>
      <c r="Q3" s="8">
        <f t="shared" si="7"/>
        <v>4</v>
      </c>
      <c r="R3" s="8">
        <v>5</v>
      </c>
      <c r="S3" s="8">
        <f t="shared" si="8"/>
        <v>4</v>
      </c>
      <c r="T3" s="8">
        <v>4</v>
      </c>
      <c r="U3" s="8">
        <f t="shared" si="9"/>
        <v>1</v>
      </c>
      <c r="V3" s="8" t="s">
        <v>17</v>
      </c>
      <c r="W3" s="8" t="s">
        <v>18</v>
      </c>
      <c r="X3" s="9" t="s">
        <v>19</v>
      </c>
    </row>
    <row r="4" spans="1:24" ht="15.75" customHeight="1" x14ac:dyDescent="0.15">
      <c r="A4" s="4">
        <v>45898.525173611109</v>
      </c>
      <c r="B4" s="5">
        <v>3</v>
      </c>
      <c r="C4" s="5">
        <f t="shared" si="0"/>
        <v>2</v>
      </c>
      <c r="D4" s="5">
        <v>2</v>
      </c>
      <c r="E4" s="5">
        <f t="shared" si="1"/>
        <v>3</v>
      </c>
      <c r="F4" s="5">
        <v>4</v>
      </c>
      <c r="G4" s="5">
        <f t="shared" si="2"/>
        <v>3</v>
      </c>
      <c r="H4" s="5">
        <v>2</v>
      </c>
      <c r="I4" s="5">
        <f t="shared" si="3"/>
        <v>3</v>
      </c>
      <c r="J4" s="5">
        <v>4</v>
      </c>
      <c r="K4" s="5">
        <f t="shared" si="4"/>
        <v>3</v>
      </c>
      <c r="L4" s="5">
        <v>2</v>
      </c>
      <c r="M4" s="5">
        <f t="shared" si="5"/>
        <v>3</v>
      </c>
      <c r="N4" s="5">
        <v>5</v>
      </c>
      <c r="O4" s="5">
        <f t="shared" si="6"/>
        <v>4</v>
      </c>
      <c r="P4" s="5">
        <v>2</v>
      </c>
      <c r="Q4" s="5">
        <f t="shared" si="7"/>
        <v>3</v>
      </c>
      <c r="R4" s="5">
        <v>4</v>
      </c>
      <c r="S4" s="5">
        <f t="shared" si="8"/>
        <v>3</v>
      </c>
      <c r="T4" s="5">
        <v>1</v>
      </c>
      <c r="U4" s="5">
        <f t="shared" si="9"/>
        <v>4</v>
      </c>
      <c r="V4" s="5" t="s">
        <v>20</v>
      </c>
      <c r="W4" s="5" t="s">
        <v>21</v>
      </c>
      <c r="X4" s="6" t="s">
        <v>22</v>
      </c>
    </row>
    <row r="5" spans="1:24" ht="15.75" customHeight="1" x14ac:dyDescent="0.15">
      <c r="A5" s="7">
        <v>45903.630659722221</v>
      </c>
      <c r="B5" s="8">
        <v>4</v>
      </c>
      <c r="C5" s="8">
        <f t="shared" si="0"/>
        <v>3</v>
      </c>
      <c r="D5" s="8">
        <v>1</v>
      </c>
      <c r="E5" s="8">
        <f t="shared" si="1"/>
        <v>4</v>
      </c>
      <c r="F5" s="8">
        <v>5</v>
      </c>
      <c r="G5" s="8">
        <f t="shared" si="2"/>
        <v>4</v>
      </c>
      <c r="H5" s="8">
        <v>1</v>
      </c>
      <c r="I5" s="8">
        <f t="shared" si="3"/>
        <v>4</v>
      </c>
      <c r="J5" s="8">
        <v>4</v>
      </c>
      <c r="K5" s="8">
        <f t="shared" si="4"/>
        <v>3</v>
      </c>
      <c r="L5" s="8">
        <v>1</v>
      </c>
      <c r="M5" s="8">
        <f t="shared" si="5"/>
        <v>4</v>
      </c>
      <c r="N5" s="8">
        <v>5</v>
      </c>
      <c r="O5" s="8">
        <f t="shared" si="6"/>
        <v>4</v>
      </c>
      <c r="P5" s="8">
        <v>1</v>
      </c>
      <c r="Q5" s="8">
        <f t="shared" si="7"/>
        <v>4</v>
      </c>
      <c r="R5" s="8">
        <v>4</v>
      </c>
      <c r="S5" s="8">
        <f t="shared" si="8"/>
        <v>3</v>
      </c>
      <c r="T5" s="8">
        <v>2</v>
      </c>
      <c r="U5" s="8">
        <f t="shared" si="9"/>
        <v>3</v>
      </c>
      <c r="V5" s="8" t="s">
        <v>23</v>
      </c>
      <c r="W5" s="8" t="s">
        <v>18</v>
      </c>
      <c r="X5" s="9" t="s">
        <v>24</v>
      </c>
    </row>
    <row r="6" spans="1:24" ht="15.75" customHeight="1" x14ac:dyDescent="0.15">
      <c r="A6" s="4">
        <v>45903.665393518517</v>
      </c>
      <c r="B6" s="5">
        <v>1</v>
      </c>
      <c r="C6" s="5">
        <f t="shared" si="0"/>
        <v>0</v>
      </c>
      <c r="D6" s="5">
        <v>1</v>
      </c>
      <c r="E6" s="5">
        <f t="shared" si="1"/>
        <v>4</v>
      </c>
      <c r="F6" s="5">
        <v>5</v>
      </c>
      <c r="G6" s="5">
        <f t="shared" si="2"/>
        <v>4</v>
      </c>
      <c r="H6" s="5">
        <v>1</v>
      </c>
      <c r="I6" s="5">
        <f t="shared" si="3"/>
        <v>4</v>
      </c>
      <c r="J6" s="5">
        <v>4</v>
      </c>
      <c r="K6" s="5">
        <f t="shared" si="4"/>
        <v>3</v>
      </c>
      <c r="L6" s="5">
        <v>1</v>
      </c>
      <c r="M6" s="5">
        <f t="shared" si="5"/>
        <v>4</v>
      </c>
      <c r="N6" s="5">
        <v>5</v>
      </c>
      <c r="O6" s="5">
        <f t="shared" si="6"/>
        <v>4</v>
      </c>
      <c r="P6" s="5">
        <v>1</v>
      </c>
      <c r="Q6" s="5">
        <f t="shared" si="7"/>
        <v>4</v>
      </c>
      <c r="R6" s="5">
        <v>4</v>
      </c>
      <c r="S6" s="5">
        <f t="shared" si="8"/>
        <v>3</v>
      </c>
      <c r="T6" s="5">
        <v>2</v>
      </c>
      <c r="U6" s="5">
        <f t="shared" si="9"/>
        <v>3</v>
      </c>
      <c r="V6" s="5" t="s">
        <v>25</v>
      </c>
      <c r="W6" s="5" t="s">
        <v>26</v>
      </c>
      <c r="X6" s="6" t="s">
        <v>27</v>
      </c>
    </row>
    <row r="7" spans="1:24" ht="15.75" customHeight="1" x14ac:dyDescent="0.15">
      <c r="A7" s="7">
        <v>45904.430011574077</v>
      </c>
      <c r="B7" s="8">
        <v>5</v>
      </c>
      <c r="C7" s="8">
        <f t="shared" si="0"/>
        <v>4</v>
      </c>
      <c r="D7" s="8">
        <v>1</v>
      </c>
      <c r="E7" s="8">
        <f t="shared" si="1"/>
        <v>4</v>
      </c>
      <c r="F7" s="8">
        <v>5</v>
      </c>
      <c r="G7" s="8">
        <f t="shared" si="2"/>
        <v>4</v>
      </c>
      <c r="H7" s="8">
        <v>1</v>
      </c>
      <c r="I7" s="8">
        <f t="shared" si="3"/>
        <v>4</v>
      </c>
      <c r="J7" s="8">
        <v>4</v>
      </c>
      <c r="K7" s="8">
        <f t="shared" si="4"/>
        <v>3</v>
      </c>
      <c r="L7" s="8">
        <v>1</v>
      </c>
      <c r="M7" s="8">
        <f t="shared" si="5"/>
        <v>4</v>
      </c>
      <c r="N7" s="8">
        <v>5</v>
      </c>
      <c r="O7" s="8">
        <f t="shared" si="6"/>
        <v>4</v>
      </c>
      <c r="P7" s="8">
        <v>1</v>
      </c>
      <c r="Q7" s="8">
        <f t="shared" si="7"/>
        <v>4</v>
      </c>
      <c r="R7" s="8">
        <v>4</v>
      </c>
      <c r="S7" s="8">
        <f t="shared" si="8"/>
        <v>3</v>
      </c>
      <c r="T7" s="8">
        <v>1</v>
      </c>
      <c r="U7" s="8">
        <f t="shared" si="9"/>
        <v>4</v>
      </c>
      <c r="V7" s="8" t="s">
        <v>28</v>
      </c>
      <c r="W7" s="8" t="s">
        <v>29</v>
      </c>
      <c r="X7" s="9" t="s">
        <v>30</v>
      </c>
    </row>
    <row r="8" spans="1:24" ht="15.75" customHeight="1" x14ac:dyDescent="0.15">
      <c r="A8" s="4">
        <v>45905.653298611112</v>
      </c>
      <c r="B8" s="5">
        <v>2</v>
      </c>
      <c r="C8" s="5">
        <f t="shared" si="0"/>
        <v>1</v>
      </c>
      <c r="D8" s="5">
        <v>1</v>
      </c>
      <c r="E8" s="5">
        <f t="shared" si="1"/>
        <v>4</v>
      </c>
      <c r="F8" s="5">
        <v>4</v>
      </c>
      <c r="G8" s="5">
        <f t="shared" si="2"/>
        <v>3</v>
      </c>
      <c r="H8" s="5">
        <v>1</v>
      </c>
      <c r="I8" s="5">
        <f t="shared" si="3"/>
        <v>4</v>
      </c>
      <c r="J8" s="5">
        <v>4</v>
      </c>
      <c r="K8" s="5">
        <f t="shared" si="4"/>
        <v>3</v>
      </c>
      <c r="L8" s="5">
        <v>1</v>
      </c>
      <c r="M8" s="5">
        <f t="shared" si="5"/>
        <v>4</v>
      </c>
      <c r="N8" s="5">
        <v>5</v>
      </c>
      <c r="O8" s="5">
        <f t="shared" si="6"/>
        <v>4</v>
      </c>
      <c r="P8" s="5">
        <v>1</v>
      </c>
      <c r="Q8" s="5">
        <f t="shared" si="7"/>
        <v>4</v>
      </c>
      <c r="R8" s="5">
        <v>4</v>
      </c>
      <c r="S8" s="5">
        <f t="shared" si="8"/>
        <v>3</v>
      </c>
      <c r="T8" s="5">
        <v>1</v>
      </c>
      <c r="U8" s="5">
        <f t="shared" si="9"/>
        <v>4</v>
      </c>
      <c r="V8" s="5" t="s">
        <v>31</v>
      </c>
      <c r="W8" s="5" t="s">
        <v>32</v>
      </c>
      <c r="X8" s="6" t="s">
        <v>33</v>
      </c>
    </row>
    <row r="9" spans="1:24" ht="15.75" customHeight="1" x14ac:dyDescent="0.15">
      <c r="A9" s="7">
        <v>45908.675046296295</v>
      </c>
      <c r="B9" s="8">
        <v>4</v>
      </c>
      <c r="C9" s="8">
        <f t="shared" si="0"/>
        <v>3</v>
      </c>
      <c r="D9" s="8">
        <v>1</v>
      </c>
      <c r="E9" s="8">
        <f t="shared" si="1"/>
        <v>4</v>
      </c>
      <c r="F9" s="8">
        <v>5</v>
      </c>
      <c r="G9" s="8">
        <f t="shared" si="2"/>
        <v>4</v>
      </c>
      <c r="H9" s="8">
        <v>1</v>
      </c>
      <c r="I9" s="8">
        <f t="shared" si="3"/>
        <v>4</v>
      </c>
      <c r="J9" s="8">
        <v>4</v>
      </c>
      <c r="K9" s="8">
        <f t="shared" si="4"/>
        <v>3</v>
      </c>
      <c r="L9" s="8">
        <v>1</v>
      </c>
      <c r="M9" s="8">
        <f t="shared" si="5"/>
        <v>4</v>
      </c>
      <c r="N9" s="8">
        <v>5</v>
      </c>
      <c r="O9" s="8">
        <f t="shared" si="6"/>
        <v>4</v>
      </c>
      <c r="P9" s="8">
        <v>1</v>
      </c>
      <c r="Q9" s="8">
        <f t="shared" si="7"/>
        <v>4</v>
      </c>
      <c r="R9" s="8">
        <v>5</v>
      </c>
      <c r="S9" s="8">
        <f t="shared" si="8"/>
        <v>4</v>
      </c>
      <c r="T9" s="8">
        <v>1</v>
      </c>
      <c r="U9" s="8">
        <f t="shared" si="9"/>
        <v>4</v>
      </c>
      <c r="V9" s="8" t="s">
        <v>34</v>
      </c>
      <c r="W9" s="8" t="s">
        <v>35</v>
      </c>
      <c r="X9" s="9" t="s">
        <v>18</v>
      </c>
    </row>
    <row r="10" spans="1:24" ht="15.75" customHeight="1" x14ac:dyDescent="0.15">
      <c r="A10" s="4">
        <v>45911.491412037038</v>
      </c>
      <c r="B10" s="5">
        <v>5</v>
      </c>
      <c r="C10" s="5">
        <f t="shared" si="0"/>
        <v>4</v>
      </c>
      <c r="D10" s="5">
        <v>2</v>
      </c>
      <c r="E10" s="5">
        <f t="shared" si="1"/>
        <v>3</v>
      </c>
      <c r="F10" s="5">
        <v>4</v>
      </c>
      <c r="G10" s="5">
        <f t="shared" si="2"/>
        <v>3</v>
      </c>
      <c r="H10" s="5">
        <v>1</v>
      </c>
      <c r="I10" s="5">
        <f t="shared" si="3"/>
        <v>4</v>
      </c>
      <c r="J10" s="5">
        <v>5</v>
      </c>
      <c r="K10" s="5">
        <f t="shared" si="4"/>
        <v>4</v>
      </c>
      <c r="L10" s="5">
        <v>4</v>
      </c>
      <c r="M10" s="5">
        <f t="shared" si="5"/>
        <v>1</v>
      </c>
      <c r="N10" s="5">
        <v>5</v>
      </c>
      <c r="O10" s="5">
        <f t="shared" si="6"/>
        <v>4</v>
      </c>
      <c r="P10" s="5">
        <v>1</v>
      </c>
      <c r="Q10" s="5">
        <f t="shared" si="7"/>
        <v>4</v>
      </c>
      <c r="R10" s="5">
        <v>5</v>
      </c>
      <c r="S10" s="5">
        <f t="shared" si="8"/>
        <v>4</v>
      </c>
      <c r="T10" s="5">
        <v>4</v>
      </c>
      <c r="U10" s="5">
        <f t="shared" si="9"/>
        <v>1</v>
      </c>
      <c r="V10" s="5" t="s">
        <v>36</v>
      </c>
      <c r="W10" s="5" t="s">
        <v>37</v>
      </c>
      <c r="X10" s="6" t="s">
        <v>38</v>
      </c>
    </row>
    <row r="11" spans="1:24" ht="15.75" customHeight="1" x14ac:dyDescent="0.15">
      <c r="A11" s="7">
        <v>45911.514618055553</v>
      </c>
      <c r="B11" s="8">
        <v>2</v>
      </c>
      <c r="C11" s="8">
        <f t="shared" si="0"/>
        <v>1</v>
      </c>
      <c r="D11" s="8">
        <v>2</v>
      </c>
      <c r="E11" s="8">
        <f t="shared" si="1"/>
        <v>3</v>
      </c>
      <c r="F11" s="8">
        <v>4</v>
      </c>
      <c r="G11" s="8">
        <f t="shared" si="2"/>
        <v>3</v>
      </c>
      <c r="H11" s="8">
        <v>1</v>
      </c>
      <c r="I11" s="8">
        <f t="shared" si="3"/>
        <v>4</v>
      </c>
      <c r="J11" s="8">
        <v>4</v>
      </c>
      <c r="K11" s="8">
        <f t="shared" si="4"/>
        <v>3</v>
      </c>
      <c r="L11" s="8">
        <v>2</v>
      </c>
      <c r="M11" s="8">
        <f t="shared" si="5"/>
        <v>3</v>
      </c>
      <c r="N11" s="8">
        <v>4</v>
      </c>
      <c r="O11" s="8">
        <f t="shared" si="6"/>
        <v>3</v>
      </c>
      <c r="P11" s="8">
        <v>1</v>
      </c>
      <c r="Q11" s="8">
        <f t="shared" si="7"/>
        <v>4</v>
      </c>
      <c r="R11" s="8">
        <v>5</v>
      </c>
      <c r="S11" s="8">
        <f t="shared" si="8"/>
        <v>4</v>
      </c>
      <c r="T11" s="8">
        <v>1</v>
      </c>
      <c r="U11" s="8">
        <f t="shared" si="9"/>
        <v>4</v>
      </c>
      <c r="V11" s="8" t="s">
        <v>39</v>
      </c>
      <c r="W11" s="8" t="s">
        <v>40</v>
      </c>
      <c r="X11" s="9" t="s">
        <v>18</v>
      </c>
    </row>
    <row r="12" spans="1:24" ht="15.75" customHeight="1" x14ac:dyDescent="0.15">
      <c r="A12" s="4">
        <v>45911.541203703702</v>
      </c>
      <c r="B12" s="5">
        <v>1</v>
      </c>
      <c r="C12" s="5">
        <f t="shared" si="0"/>
        <v>0</v>
      </c>
      <c r="D12" s="5">
        <v>1</v>
      </c>
      <c r="E12" s="5">
        <f t="shared" si="1"/>
        <v>4</v>
      </c>
      <c r="F12" s="5">
        <v>5</v>
      </c>
      <c r="G12" s="5">
        <f t="shared" si="2"/>
        <v>4</v>
      </c>
      <c r="H12" s="5">
        <v>4</v>
      </c>
      <c r="I12" s="5">
        <f t="shared" si="3"/>
        <v>1</v>
      </c>
      <c r="J12" s="5">
        <v>5</v>
      </c>
      <c r="K12" s="5">
        <f t="shared" si="4"/>
        <v>4</v>
      </c>
      <c r="L12" s="5">
        <v>1</v>
      </c>
      <c r="M12" s="5">
        <f t="shared" si="5"/>
        <v>4</v>
      </c>
      <c r="N12" s="5">
        <v>4</v>
      </c>
      <c r="O12" s="5">
        <f t="shared" si="6"/>
        <v>3</v>
      </c>
      <c r="P12" s="5">
        <v>1</v>
      </c>
      <c r="Q12" s="5">
        <f t="shared" si="7"/>
        <v>4</v>
      </c>
      <c r="R12" s="5">
        <v>5</v>
      </c>
      <c r="S12" s="5">
        <f t="shared" si="8"/>
        <v>4</v>
      </c>
      <c r="T12" s="5">
        <v>1</v>
      </c>
      <c r="U12" s="5">
        <f t="shared" si="9"/>
        <v>4</v>
      </c>
      <c r="V12" s="5" t="s">
        <v>41</v>
      </c>
      <c r="W12" s="5" t="s">
        <v>18</v>
      </c>
      <c r="X12" s="6" t="s">
        <v>42</v>
      </c>
    </row>
    <row r="13" spans="1:24" ht="15.75" customHeight="1" x14ac:dyDescent="0.15">
      <c r="A13" s="7">
        <v>45912.612303240741</v>
      </c>
      <c r="B13" s="8">
        <v>3</v>
      </c>
      <c r="C13" s="8">
        <f t="shared" si="0"/>
        <v>2</v>
      </c>
      <c r="D13" s="8">
        <v>1</v>
      </c>
      <c r="E13" s="8">
        <f t="shared" si="1"/>
        <v>4</v>
      </c>
      <c r="F13" s="8">
        <v>5</v>
      </c>
      <c r="G13" s="8">
        <f t="shared" si="2"/>
        <v>4</v>
      </c>
      <c r="H13" s="8">
        <v>1</v>
      </c>
      <c r="I13" s="8">
        <f t="shared" si="3"/>
        <v>4</v>
      </c>
      <c r="J13" s="8">
        <v>5</v>
      </c>
      <c r="K13" s="8">
        <f t="shared" si="4"/>
        <v>4</v>
      </c>
      <c r="L13" s="8">
        <v>1</v>
      </c>
      <c r="M13" s="8">
        <f t="shared" si="5"/>
        <v>4</v>
      </c>
      <c r="N13" s="8">
        <v>1</v>
      </c>
      <c r="O13" s="8">
        <f t="shared" si="6"/>
        <v>0</v>
      </c>
      <c r="P13" s="8">
        <v>1</v>
      </c>
      <c r="Q13" s="8">
        <f t="shared" si="7"/>
        <v>4</v>
      </c>
      <c r="R13" s="8">
        <v>4</v>
      </c>
      <c r="S13" s="8">
        <f t="shared" si="8"/>
        <v>3</v>
      </c>
      <c r="T13" s="8">
        <v>2</v>
      </c>
      <c r="U13" s="8">
        <f t="shared" si="9"/>
        <v>3</v>
      </c>
      <c r="V13" s="8" t="s">
        <v>43</v>
      </c>
      <c r="W13" s="8" t="s">
        <v>44</v>
      </c>
      <c r="X13" s="9" t="s">
        <v>45</v>
      </c>
    </row>
    <row r="14" spans="1:24" ht="15.75" customHeight="1" x14ac:dyDescent="0.15">
      <c r="A14" s="4">
        <v>45915.656342592592</v>
      </c>
      <c r="B14" s="5">
        <v>4</v>
      </c>
      <c r="C14" s="5">
        <f t="shared" si="0"/>
        <v>3</v>
      </c>
      <c r="D14" s="5">
        <v>2</v>
      </c>
      <c r="E14" s="5">
        <f t="shared" si="1"/>
        <v>3</v>
      </c>
      <c r="F14" s="5">
        <v>4</v>
      </c>
      <c r="G14" s="5">
        <f t="shared" si="2"/>
        <v>3</v>
      </c>
      <c r="H14" s="5">
        <v>1</v>
      </c>
      <c r="I14" s="5">
        <f t="shared" si="3"/>
        <v>4</v>
      </c>
      <c r="J14" s="5">
        <v>4</v>
      </c>
      <c r="K14" s="5">
        <f t="shared" si="4"/>
        <v>3</v>
      </c>
      <c r="L14" s="5">
        <v>2</v>
      </c>
      <c r="M14" s="5">
        <f t="shared" si="5"/>
        <v>3</v>
      </c>
      <c r="N14" s="5">
        <v>4</v>
      </c>
      <c r="O14" s="5">
        <f t="shared" si="6"/>
        <v>3</v>
      </c>
      <c r="P14" s="5">
        <v>1</v>
      </c>
      <c r="Q14" s="5">
        <f t="shared" si="7"/>
        <v>4</v>
      </c>
      <c r="R14" s="5">
        <v>4</v>
      </c>
      <c r="S14" s="5">
        <f t="shared" si="8"/>
        <v>3</v>
      </c>
      <c r="T14" s="5">
        <v>1</v>
      </c>
      <c r="U14" s="5">
        <f t="shared" si="9"/>
        <v>4</v>
      </c>
      <c r="V14" s="5" t="s">
        <v>46</v>
      </c>
      <c r="W14" s="5" t="s">
        <v>47</v>
      </c>
      <c r="X14" s="6" t="s">
        <v>48</v>
      </c>
    </row>
    <row r="15" spans="1:24" ht="15.75" customHeight="1" x14ac:dyDescent="0.15">
      <c r="A15" s="7">
        <v>45918.534007592592</v>
      </c>
      <c r="B15" s="8">
        <v>2</v>
      </c>
      <c r="C15" s="8">
        <f t="shared" si="0"/>
        <v>1</v>
      </c>
      <c r="D15" s="8">
        <v>1</v>
      </c>
      <c r="E15" s="8">
        <f t="shared" si="1"/>
        <v>4</v>
      </c>
      <c r="F15" s="8">
        <v>5</v>
      </c>
      <c r="G15" s="8">
        <f t="shared" si="2"/>
        <v>4</v>
      </c>
      <c r="H15" s="8">
        <v>2</v>
      </c>
      <c r="I15" s="8">
        <f t="shared" si="3"/>
        <v>3</v>
      </c>
      <c r="J15" s="8">
        <v>4</v>
      </c>
      <c r="K15" s="8">
        <f t="shared" si="4"/>
        <v>3</v>
      </c>
      <c r="L15" s="8">
        <v>1</v>
      </c>
      <c r="M15" s="8">
        <f t="shared" si="5"/>
        <v>4</v>
      </c>
      <c r="N15" s="8">
        <v>4</v>
      </c>
      <c r="O15" s="8">
        <f t="shared" si="6"/>
        <v>3</v>
      </c>
      <c r="P15" s="8">
        <v>1</v>
      </c>
      <c r="Q15" s="8">
        <f t="shared" si="7"/>
        <v>4</v>
      </c>
      <c r="R15" s="8">
        <v>5</v>
      </c>
      <c r="S15" s="8">
        <f t="shared" si="8"/>
        <v>4</v>
      </c>
      <c r="T15" s="8">
        <v>1</v>
      </c>
      <c r="U15" s="8">
        <f t="shared" si="9"/>
        <v>4</v>
      </c>
      <c r="V15" s="8" t="s">
        <v>49</v>
      </c>
      <c r="W15" s="8" t="s">
        <v>18</v>
      </c>
      <c r="X15" s="9" t="s">
        <v>18</v>
      </c>
    </row>
    <row r="16" spans="1:24" ht="15.75" customHeight="1" x14ac:dyDescent="0.15">
      <c r="A16" s="10">
        <v>45918.548011967592</v>
      </c>
      <c r="B16" s="11">
        <v>1</v>
      </c>
      <c r="C16" s="11">
        <f t="shared" si="0"/>
        <v>0</v>
      </c>
      <c r="D16" s="11">
        <v>3</v>
      </c>
      <c r="E16" s="11">
        <f t="shared" si="1"/>
        <v>2</v>
      </c>
      <c r="F16" s="11">
        <v>5</v>
      </c>
      <c r="G16" s="11">
        <f t="shared" si="2"/>
        <v>4</v>
      </c>
      <c r="H16" s="11">
        <v>1</v>
      </c>
      <c r="I16" s="11">
        <f t="shared" si="3"/>
        <v>4</v>
      </c>
      <c r="J16" s="11">
        <v>4</v>
      </c>
      <c r="K16" s="11">
        <f t="shared" si="4"/>
        <v>3</v>
      </c>
      <c r="L16" s="11">
        <v>1</v>
      </c>
      <c r="M16" s="11">
        <f t="shared" si="5"/>
        <v>4</v>
      </c>
      <c r="N16" s="11">
        <v>5</v>
      </c>
      <c r="O16" s="11">
        <f t="shared" si="6"/>
        <v>4</v>
      </c>
      <c r="P16" s="11">
        <v>1</v>
      </c>
      <c r="Q16" s="11">
        <f t="shared" si="7"/>
        <v>4</v>
      </c>
      <c r="R16" s="11">
        <v>4</v>
      </c>
      <c r="S16" s="11">
        <f t="shared" si="8"/>
        <v>3</v>
      </c>
      <c r="T16" s="11">
        <v>1</v>
      </c>
      <c r="U16" s="11">
        <f t="shared" si="9"/>
        <v>4</v>
      </c>
      <c r="V16" s="11" t="s">
        <v>18</v>
      </c>
      <c r="W16" s="11" t="s">
        <v>18</v>
      </c>
      <c r="X16" s="12" t="s">
        <v>50</v>
      </c>
    </row>
    <row r="17" spans="1:24" ht="15.75" customHeight="1" x14ac:dyDescent="0.15">
      <c r="A17" s="13"/>
      <c r="B17" s="13"/>
      <c r="C17" s="14">
        <f>SUM(C4:C16)</f>
        <v>24</v>
      </c>
      <c r="D17" s="13"/>
      <c r="E17" s="14"/>
      <c r="F17" s="13"/>
      <c r="G17" s="14"/>
      <c r="H17" s="13"/>
      <c r="I17" s="14"/>
      <c r="J17" s="13"/>
      <c r="K17" s="14"/>
      <c r="L17" s="13"/>
      <c r="M17" s="14"/>
      <c r="N17" s="13"/>
      <c r="O17" s="14"/>
      <c r="P17" s="13"/>
      <c r="Q17" s="15"/>
      <c r="R17" s="13"/>
      <c r="S17" s="15"/>
      <c r="T17" s="13"/>
      <c r="U17" s="15"/>
      <c r="V17" s="13"/>
      <c r="W17" s="13"/>
      <c r="X17" s="13"/>
    </row>
    <row r="21" spans="1:24" ht="15.75" customHeight="1" x14ac:dyDescent="0.15">
      <c r="B21" s="16" t="s">
        <v>61</v>
      </c>
      <c r="C21">
        <f>SUM(C2+E2+G2+I2+K2+M2+O2+Q2+S2+U2)*2.5</f>
        <v>85</v>
      </c>
    </row>
    <row r="22" spans="1:24" ht="15.75" customHeight="1" x14ac:dyDescent="0.15">
      <c r="B22" s="16" t="s">
        <v>62</v>
      </c>
      <c r="C22">
        <f t="shared" ref="C22:C36" si="10">SUM(C3+E3+G3+I3+K3+M3+O3+Q3+S3+U3)*2.5</f>
        <v>90</v>
      </c>
    </row>
    <row r="23" spans="1:24" ht="15.75" customHeight="1" x14ac:dyDescent="0.15">
      <c r="B23" s="16" t="s">
        <v>63</v>
      </c>
      <c r="C23">
        <f t="shared" si="10"/>
        <v>77.5</v>
      </c>
    </row>
    <row r="24" spans="1:24" ht="15.75" customHeight="1" x14ac:dyDescent="0.15">
      <c r="B24" s="16" t="s">
        <v>64</v>
      </c>
      <c r="C24">
        <f t="shared" si="10"/>
        <v>90</v>
      </c>
    </row>
    <row r="25" spans="1:24" ht="15.75" customHeight="1" x14ac:dyDescent="0.15">
      <c r="B25" s="16" t="s">
        <v>65</v>
      </c>
      <c r="C25">
        <f t="shared" si="10"/>
        <v>82.5</v>
      </c>
    </row>
    <row r="26" spans="1:24" ht="15.75" customHeight="1" x14ac:dyDescent="0.15">
      <c r="B26" s="16" t="s">
        <v>66</v>
      </c>
      <c r="C26">
        <f t="shared" si="10"/>
        <v>95</v>
      </c>
    </row>
    <row r="27" spans="1:24" ht="15.75" customHeight="1" x14ac:dyDescent="0.15">
      <c r="B27" s="16" t="s">
        <v>67</v>
      </c>
      <c r="C27">
        <f t="shared" si="10"/>
        <v>85</v>
      </c>
    </row>
    <row r="28" spans="1:24" ht="15.75" customHeight="1" x14ac:dyDescent="0.15">
      <c r="B28" s="16" t="s">
        <v>68</v>
      </c>
      <c r="C28">
        <f t="shared" si="10"/>
        <v>95</v>
      </c>
    </row>
    <row r="29" spans="1:24" ht="15.75" customHeight="1" x14ac:dyDescent="0.15">
      <c r="B29" s="16" t="s">
        <v>69</v>
      </c>
      <c r="C29">
        <f t="shared" si="10"/>
        <v>80</v>
      </c>
    </row>
    <row r="30" spans="1:24" ht="15.75" customHeight="1" x14ac:dyDescent="0.15">
      <c r="B30" s="16" t="s">
        <v>70</v>
      </c>
      <c r="C30">
        <f t="shared" si="10"/>
        <v>80</v>
      </c>
    </row>
    <row r="31" spans="1:24" ht="15.75" customHeight="1" x14ac:dyDescent="0.15">
      <c r="B31" s="16" t="s">
        <v>71</v>
      </c>
      <c r="C31">
        <f t="shared" si="10"/>
        <v>80</v>
      </c>
    </row>
    <row r="32" spans="1:24" ht="15.75" customHeight="1" x14ac:dyDescent="0.15">
      <c r="B32" s="16" t="s">
        <v>72</v>
      </c>
      <c r="C32">
        <f t="shared" si="10"/>
        <v>80</v>
      </c>
    </row>
    <row r="33" spans="2:3" ht="15.75" customHeight="1" x14ac:dyDescent="0.15">
      <c r="B33" s="16" t="s">
        <v>73</v>
      </c>
      <c r="C33">
        <f t="shared" si="10"/>
        <v>82.5</v>
      </c>
    </row>
    <row r="34" spans="2:3" ht="15.75" customHeight="1" x14ac:dyDescent="0.15">
      <c r="B34" s="16" t="s">
        <v>74</v>
      </c>
      <c r="C34">
        <f t="shared" si="10"/>
        <v>85</v>
      </c>
    </row>
    <row r="35" spans="2:3" ht="15.75" customHeight="1" x14ac:dyDescent="0.15">
      <c r="B35" s="16" t="s">
        <v>75</v>
      </c>
      <c r="C35">
        <f t="shared" si="10"/>
        <v>80</v>
      </c>
    </row>
    <row r="36" spans="2:3" ht="15.75" customHeight="1" x14ac:dyDescent="0.15">
      <c r="B36" s="16" t="s">
        <v>76</v>
      </c>
      <c r="C36">
        <f t="shared" si="10"/>
        <v>60</v>
      </c>
    </row>
    <row r="37" spans="2:3" ht="15.75" customHeight="1" x14ac:dyDescent="0.15">
      <c r="C37">
        <f>AVERAGE(C21:C36)</f>
        <v>82.96875</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Thomas Green</cp:lastModifiedBy>
  <dcterms:modified xsi:type="dcterms:W3CDTF">2025-10-16T02:57:11Z</dcterms:modified>
</cp:coreProperties>
</file>